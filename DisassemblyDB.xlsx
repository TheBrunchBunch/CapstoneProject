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900" windowHeight="1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<sst xmlns="http://schemas.openxmlformats.org/spreadsheetml/2006/main" count="206" uniqueCount="98">
  <si>
    <t>Type of component</t>
  </si>
  <si>
    <t>State of component</t>
  </si>
  <si>
    <t>Component</t>
  </si>
  <si>
    <t>Method</t>
  </si>
  <si>
    <t>Tool</t>
  </si>
  <si>
    <t>Time (Seconds)</t>
  </si>
  <si>
    <t>Discrete components</t>
  </si>
  <si>
    <t>Not deformed</t>
  </si>
  <si>
    <t>Bundling</t>
  </si>
  <si>
    <t>Shear cut</t>
  </si>
  <si>
    <t>Single Blade</t>
  </si>
  <si>
    <t>2s</t>
  </si>
  <si>
    <t>Estimation</t>
  </si>
  <si>
    <t>Spring</t>
  </si>
  <si>
    <t>Deform</t>
  </si>
  <si>
    <t>Plier</t>
  </si>
  <si>
    <t>8s</t>
  </si>
  <si>
    <t>Pull</t>
  </si>
  <si>
    <t>5s</t>
  </si>
  <si>
    <t>Screw</t>
  </si>
  <si>
    <t>Unscrew</t>
  </si>
  <si>
    <t>Screwdriver</t>
  </si>
  <si>
    <t>6.5s</t>
  </si>
  <si>
    <t>Ease of disassembly of products to support circular economy strategies - ScienceDirect</t>
  </si>
  <si>
    <t>Drill</t>
  </si>
  <si>
    <t>Handheld drill</t>
  </si>
  <si>
    <t>4s</t>
  </si>
  <si>
    <t>Bolt</t>
  </si>
  <si>
    <t>Wrench</t>
  </si>
  <si>
    <t>10s</t>
  </si>
  <si>
    <t>Drill and drill bit</t>
  </si>
  <si>
    <t>6s</t>
  </si>
  <si>
    <t>Nut</t>
  </si>
  <si>
    <t>7s</t>
  </si>
  <si>
    <t>Big data analysis for the estimation of disassembly time and de-manufacturing activity - ScienceDirect</t>
  </si>
  <si>
    <t>Washer</t>
  </si>
  <si>
    <t>Reversibly deformed</t>
  </si>
  <si>
    <t>Cotter pin</t>
  </si>
  <si>
    <t>Cotter pin puller</t>
  </si>
  <si>
    <t>3s</t>
  </si>
  <si>
    <t>Needle-nose plier</t>
  </si>
  <si>
    <t>15s</t>
  </si>
  <si>
    <t>Flathead screwdriver</t>
  </si>
  <si>
    <t>9s</t>
  </si>
  <si>
    <t>Avg ofabove</t>
  </si>
  <si>
    <t>Staple</t>
  </si>
  <si>
    <t>Basic Staple remover</t>
  </si>
  <si>
    <t>Heavy-duty staple remover</t>
  </si>
  <si>
    <t>Needle-nose pliers</t>
  </si>
  <si>
    <t>Note: Used with Plier</t>
  </si>
  <si>
    <t>Irreversibly deformed</t>
  </si>
  <si>
    <t>Rivet</t>
  </si>
  <si>
    <t>Pry out</t>
  </si>
  <si>
    <t>Rivet removal tool</t>
  </si>
  <si>
    <t>5.5s</t>
  </si>
  <si>
    <t>Cut</t>
  </si>
  <si>
    <t>Dremel tool</t>
  </si>
  <si>
    <t>12s</t>
  </si>
  <si>
    <t>Shear</t>
  </si>
  <si>
    <t>Chisel and hammer</t>
  </si>
  <si>
    <t>22s</t>
  </si>
  <si>
    <t>Adhesive</t>
  </si>
  <si>
    <t>Peel</t>
  </si>
  <si>
    <t>Putty knife</t>
  </si>
  <si>
    <t xml:space="preserve">n  </t>
  </si>
  <si>
    <t>Heated knife</t>
  </si>
  <si>
    <t>Disassembly analysis of hot-melt adhesive in mechanical joints - ScienceDirect</t>
  </si>
  <si>
    <t>Plastic scraper</t>
  </si>
  <si>
    <t>Razer blade scraper</t>
  </si>
  <si>
    <t>Chemical</t>
  </si>
  <si>
    <t>Adhesive remover</t>
  </si>
  <si>
    <t>45s</t>
  </si>
  <si>
    <t>Parts of components</t>
  </si>
  <si>
    <t>Reversible connection (semi-reversible)</t>
  </si>
  <si>
    <t>Surface: mating</t>
  </si>
  <si>
    <t>Remove</t>
  </si>
  <si>
    <t>Pliers</t>
  </si>
  <si>
    <t>Surface: press fit</t>
  </si>
  <si>
    <t>Snap fit</t>
  </si>
  <si>
    <t>Hammer</t>
  </si>
  <si>
    <t>Irreversible connection</t>
  </si>
  <si>
    <t>Surface: mould</t>
  </si>
  <si>
    <t>Break</t>
  </si>
  <si>
    <t>Chiesel and hammer</t>
  </si>
  <si>
    <t>Seam fold</t>
  </si>
  <si>
    <t>Seal</t>
  </si>
  <si>
    <t>Standardised 5cmx5cm</t>
  </si>
  <si>
    <t>Virtual components</t>
  </si>
  <si>
    <t>Irrversible</t>
  </si>
  <si>
    <t>Solder</t>
  </si>
  <si>
    <t>Melt</t>
  </si>
  <si>
    <t>Heat gun</t>
  </si>
  <si>
    <t>Weld</t>
  </si>
  <si>
    <t>Saw cut</t>
  </si>
  <si>
    <t>8.75s</t>
  </si>
  <si>
    <t>Note: Used 4000 Watts version, interpolated with 20mm screw</t>
  </si>
  <si>
    <t>Standardised 5cm</t>
  </si>
  <si>
    <t>Rotary cutter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</si>
</sst>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2" fillId="0" borderId="4" xfId="6" applyBorder="1" applyAlignment="1"/>
    <xf numFmtId="0" fontId="2" fillId="0" borderId="0" xfId="6" applyBorder="1" applyAlignment="1"/>
    <xf numFmtId="0" fontId="1" fillId="0" borderId="0" xfId="0" applyFo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2212827124001136" TargetMode="External"/><Relationship Id="rId2" Type="http://schemas.openxmlformats.org/officeDocument/2006/relationships/hyperlink" Target="https://www.sciencedirect.com/science/article/pii/S0921344917301763" TargetMode="External"/><Relationship Id="rId1" Type="http://schemas.openxmlformats.org/officeDocument/2006/relationships/hyperlink" Target="https://www.sciencedirect.com/science/article/pii/S22128271203016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48"/>
  <sheetViews>
    <sheetView tabSelected="1" zoomScale="116" zoomScaleNormal="116" workbookViewId="0">
      <selection activeCell="M51" sqref="M51"/>
    </sheetView>
  </sheetViews>
  <sheetFormatPr defaultColWidth="9" defaultRowHeight="16.8"/>
  <cols>
    <col min="1" max="1" width="19.2857142857143" customWidth="1"/>
    <col min="2" max="2" width="35.5714285714286" customWidth="1"/>
    <col min="3" max="3" width="15.2857142857143" customWidth="1"/>
    <col min="4" max="4" width="9" customWidth="1"/>
    <col min="5" max="5" width="23.7142857142857" customWidth="1"/>
    <col min="6" max="6" width="14.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 t="s">
        <v>11</v>
      </c>
      <c r="G2" s="5" t="s">
        <v>12</v>
      </c>
    </row>
    <row r="3" spans="1:7">
      <c r="A3" s="3"/>
      <c r="B3" s="3"/>
      <c r="C3" s="3" t="s">
        <v>13</v>
      </c>
      <c r="D3" s="3" t="s">
        <v>14</v>
      </c>
      <c r="E3" s="3" t="s">
        <v>15</v>
      </c>
      <c r="F3" s="4" t="s">
        <v>16</v>
      </c>
      <c r="G3" s="5" t="s">
        <v>12</v>
      </c>
    </row>
    <row r="4" spans="1:7">
      <c r="A4" s="3"/>
      <c r="B4" s="3"/>
      <c r="C4" s="3"/>
      <c r="D4" s="3" t="s">
        <v>17</v>
      </c>
      <c r="E4" s="3" t="s">
        <v>15</v>
      </c>
      <c r="F4" s="4" t="s">
        <v>18</v>
      </c>
      <c r="G4" s="5" t="s">
        <v>12</v>
      </c>
    </row>
    <row r="5" spans="1:7">
      <c r="A5" s="3"/>
      <c r="B5" s="3"/>
      <c r="C5" s="3" t="s">
        <v>19</v>
      </c>
      <c r="D5" s="3" t="s">
        <v>20</v>
      </c>
      <c r="E5" s="3" t="s">
        <v>21</v>
      </c>
      <c r="F5" s="4" t="s">
        <v>22</v>
      </c>
      <c r="G5" s="6" t="s">
        <v>23</v>
      </c>
    </row>
    <row r="6" spans="1:8">
      <c r="A6" s="3"/>
      <c r="B6" s="3"/>
      <c r="C6" s="3"/>
      <c r="D6" s="3" t="s">
        <v>24</v>
      </c>
      <c r="E6" s="3" t="s">
        <v>25</v>
      </c>
      <c r="F6" s="4" t="s">
        <v>26</v>
      </c>
      <c r="G6" s="5" t="s">
        <v>12</v>
      </c>
      <c r="H6" s="7"/>
    </row>
    <row r="7" spans="1:7">
      <c r="A7" s="3"/>
      <c r="B7" s="3"/>
      <c r="C7" s="3" t="s">
        <v>27</v>
      </c>
      <c r="D7" s="3" t="s">
        <v>20</v>
      </c>
      <c r="E7" s="3" t="s">
        <v>28</v>
      </c>
      <c r="F7" s="4" t="s">
        <v>29</v>
      </c>
      <c r="G7" s="5" t="s">
        <v>12</v>
      </c>
    </row>
    <row r="8" spans="1:7">
      <c r="A8" s="3"/>
      <c r="B8" s="3"/>
      <c r="C8" s="3"/>
      <c r="D8" s="3" t="s">
        <v>24</v>
      </c>
      <c r="E8" s="3" t="s">
        <v>30</v>
      </c>
      <c r="F8" s="4" t="s">
        <v>31</v>
      </c>
      <c r="G8" s="5" t="s">
        <v>12</v>
      </c>
    </row>
    <row r="9" spans="1:7">
      <c r="A9" s="3"/>
      <c r="B9" s="3"/>
      <c r="C9" s="3" t="s">
        <v>32</v>
      </c>
      <c r="D9" s="3" t="s">
        <v>20</v>
      </c>
      <c r="E9" s="3" t="s">
        <v>28</v>
      </c>
      <c r="F9" s="4" t="s">
        <v>33</v>
      </c>
      <c r="G9" s="6" t="s">
        <v>34</v>
      </c>
    </row>
    <row r="10" spans="1:7">
      <c r="A10" s="3"/>
      <c r="B10" s="3"/>
      <c r="C10" s="3"/>
      <c r="D10" s="3" t="s">
        <v>24</v>
      </c>
      <c r="E10" s="3" t="s">
        <v>25</v>
      </c>
      <c r="F10" s="4" t="s">
        <v>26</v>
      </c>
      <c r="G10" s="5" t="s">
        <v>12</v>
      </c>
    </row>
    <row r="11" spans="1:7">
      <c r="A11" s="3"/>
      <c r="B11" s="3"/>
      <c r="C11" s="3" t="s">
        <v>35</v>
      </c>
      <c r="D11" s="3" t="s">
        <v>20</v>
      </c>
      <c r="E11" s="3" t="s">
        <v>21</v>
      </c>
      <c r="F11" s="4" t="s">
        <v>29</v>
      </c>
      <c r="G11" s="5" t="s">
        <v>12</v>
      </c>
    </row>
    <row r="12" spans="1:7">
      <c r="A12" s="3"/>
      <c r="B12" s="3"/>
      <c r="C12" s="3"/>
      <c r="D12" s="3" t="s">
        <v>24</v>
      </c>
      <c r="E12" s="3" t="s">
        <v>25</v>
      </c>
      <c r="F12" s="4" t="s">
        <v>31</v>
      </c>
      <c r="G12" s="5" t="s">
        <v>12</v>
      </c>
    </row>
    <row r="13" spans="1:7">
      <c r="A13" s="3"/>
      <c r="B13" s="3" t="s">
        <v>36</v>
      </c>
      <c r="C13" s="3" t="s">
        <v>37</v>
      </c>
      <c r="D13" s="3" t="s">
        <v>17</v>
      </c>
      <c r="E13" s="3" t="s">
        <v>38</v>
      </c>
      <c r="F13" s="4" t="s">
        <v>39</v>
      </c>
      <c r="G13" s="6" t="str">
        <f>HYPERLINK("https://youtu.be/AiC6iKmST9c","Video 1: 3 Sec")</f>
        <v>Video 1: 3 Sec</v>
      </c>
    </row>
    <row r="14" spans="1:8">
      <c r="A14" s="3"/>
      <c r="B14" s="3"/>
      <c r="C14" s="3"/>
      <c r="D14" s="3"/>
      <c r="E14" s="3" t="s">
        <v>40</v>
      </c>
      <c r="F14" s="4" t="s">
        <v>41</v>
      </c>
      <c r="G14" s="6" t="str">
        <f>HYPERLINK("https://youtu.be/blUcTI7lDf4","Video 1: 10 Sec")</f>
        <v>Video 1: 10 Sec</v>
      </c>
      <c r="H14" s="7" t="str">
        <f>HYPERLINK("https://youtu.be/scmv70yRqk8","Video 2: 20 Sec")</f>
        <v>Video 2: 20 Sec</v>
      </c>
    </row>
    <row r="15" spans="1:7">
      <c r="A15" s="3"/>
      <c r="B15" s="3"/>
      <c r="C15" s="3"/>
      <c r="D15" s="3"/>
      <c r="E15" s="3" t="s">
        <v>42</v>
      </c>
      <c r="F15" s="4" t="s">
        <v>43</v>
      </c>
      <c r="G15" s="5" t="s">
        <v>44</v>
      </c>
    </row>
    <row r="16" spans="1:7">
      <c r="A16" s="3"/>
      <c r="B16" s="3"/>
      <c r="C16" s="3" t="s">
        <v>45</v>
      </c>
      <c r="D16" s="3" t="s">
        <v>17</v>
      </c>
      <c r="E16" s="3" t="s">
        <v>46</v>
      </c>
      <c r="F16" s="4" t="s">
        <v>11</v>
      </c>
      <c r="G16" s="5" t="s">
        <v>12</v>
      </c>
    </row>
    <row r="17" spans="1:7">
      <c r="A17" s="3"/>
      <c r="B17" s="3"/>
      <c r="C17" s="3"/>
      <c r="D17" s="3"/>
      <c r="E17" s="3" t="s">
        <v>47</v>
      </c>
      <c r="F17" s="4" t="s">
        <v>11</v>
      </c>
      <c r="G17" s="6" t="str">
        <f>HYPERLINK("https://youtu.be/kEl0CkjTHKE","Video 1: 2 Sec")</f>
        <v>Video 1: 2 Sec</v>
      </c>
    </row>
    <row r="18" spans="1:7">
      <c r="A18" s="3"/>
      <c r="B18" s="3"/>
      <c r="C18" s="3"/>
      <c r="D18" s="3"/>
      <c r="E18" s="3" t="s">
        <v>48</v>
      </c>
      <c r="F18" s="4" t="s">
        <v>16</v>
      </c>
      <c r="G18" s="6" t="str">
        <f>HYPERLINK("https://youtu.be/x6JSeBsddK0","Video 1: 8 Sec")</f>
        <v>Video 1: 8 Sec</v>
      </c>
    </row>
    <row r="19" spans="1:9">
      <c r="A19" s="3"/>
      <c r="B19" s="3"/>
      <c r="C19" s="3"/>
      <c r="D19" s="3"/>
      <c r="E19" s="3" t="s">
        <v>42</v>
      </c>
      <c r="F19" s="4" t="s">
        <v>39</v>
      </c>
      <c r="G19" s="6" t="str">
        <f>HYPERLINK("https://youtu.be/tjqeednZlzM","Video 1: 3 Sec")</f>
        <v>Video 1: 3 Sec</v>
      </c>
      <c r="H19" s="7" t="str">
        <f>HYPERLINK("https://www.youtube.com/watch?v=4bYi1JAUfVg","Video 2: 3 Sec")</f>
        <v>Video 2: 3 Sec</v>
      </c>
      <c r="I19" t="s">
        <v>49</v>
      </c>
    </row>
    <row r="20" spans="1:8">
      <c r="A20" s="3"/>
      <c r="B20" s="3" t="s">
        <v>50</v>
      </c>
      <c r="C20" s="3" t="s">
        <v>51</v>
      </c>
      <c r="D20" s="3" t="s">
        <v>52</v>
      </c>
      <c r="E20" s="3" t="s">
        <v>53</v>
      </c>
      <c r="F20" s="4" t="s">
        <v>54</v>
      </c>
      <c r="G20" s="6" t="str">
        <f>HYPERLINK("https://youtu.be/4bpLhPFaEoI","Video 1: 3 Sec")</f>
        <v>Video 1: 3 Sec</v>
      </c>
      <c r="H20" s="6" t="str">
        <f>HYPERLINK("https://youtu.be/cNq7EEAvvlA","Video 2: 8 Sec")</f>
        <v>Video 2: 8 Sec</v>
      </c>
    </row>
    <row r="21" spans="1:7">
      <c r="A21" s="3"/>
      <c r="B21" s="3"/>
      <c r="C21" s="3"/>
      <c r="D21" s="3" t="s">
        <v>55</v>
      </c>
      <c r="E21" s="3" t="s">
        <v>56</v>
      </c>
      <c r="F21" s="4" t="s">
        <v>57</v>
      </c>
      <c r="G21" s="6" t="str">
        <f>HYPERLINK("https://youtu.be/uG5plvIy3wk","Video 1: 12 Sec")</f>
        <v>Video 1: 12 Sec</v>
      </c>
    </row>
    <row r="22" spans="1:7">
      <c r="A22" s="3"/>
      <c r="B22" s="3"/>
      <c r="C22" s="3"/>
      <c r="D22" s="3" t="s">
        <v>58</v>
      </c>
      <c r="E22" s="3" t="s">
        <v>59</v>
      </c>
      <c r="F22" s="4" t="s">
        <v>60</v>
      </c>
      <c r="G22" s="6" t="str">
        <f>HYPERLINK("https://youtu.be/uG5plvIy3wk","Video 1: 22 Sec")</f>
        <v>Video 1: 22 Sec</v>
      </c>
    </row>
    <row r="23" spans="1:8">
      <c r="A23" s="3"/>
      <c r="B23" s="3"/>
      <c r="C23" s="3"/>
      <c r="D23" s="3" t="s">
        <v>24</v>
      </c>
      <c r="E23" s="3" t="s">
        <v>30</v>
      </c>
      <c r="F23" s="4" t="s">
        <v>16</v>
      </c>
      <c r="G23" s="6" t="str">
        <f>HYPERLINK("https://youtu.be/uG5plvIy3wk","Video 1: 8 Sec")</f>
        <v>Video 1: 8 Sec</v>
      </c>
      <c r="H23" s="7"/>
    </row>
    <row r="24" spans="1:11">
      <c r="A24" s="3"/>
      <c r="B24" s="3"/>
      <c r="C24" s="3" t="s">
        <v>61</v>
      </c>
      <c r="D24" s="3" t="s">
        <v>62</v>
      </c>
      <c r="E24" s="3" t="s">
        <v>63</v>
      </c>
      <c r="F24" s="4" t="s">
        <v>26</v>
      </c>
      <c r="G24" s="5" t="s">
        <v>12</v>
      </c>
      <c r="K24" t="s">
        <v>64</v>
      </c>
    </row>
    <row r="25" spans="1:7">
      <c r="A25" s="3"/>
      <c r="B25" s="3"/>
      <c r="C25" s="3"/>
      <c r="D25" s="3"/>
      <c r="E25" s="3" t="s">
        <v>65</v>
      </c>
      <c r="F25" s="4" t="s">
        <v>29</v>
      </c>
      <c r="G25" s="6" t="s">
        <v>66</v>
      </c>
    </row>
    <row r="26" spans="1:7">
      <c r="A26" s="3"/>
      <c r="B26" s="3"/>
      <c r="C26" s="3"/>
      <c r="D26" s="3" t="s">
        <v>52</v>
      </c>
      <c r="E26" s="3" t="s">
        <v>67</v>
      </c>
      <c r="F26" s="4" t="s">
        <v>31</v>
      </c>
      <c r="G26" s="5" t="s">
        <v>12</v>
      </c>
    </row>
    <row r="27" spans="1:7">
      <c r="A27" s="3"/>
      <c r="B27" s="3"/>
      <c r="C27" s="3"/>
      <c r="D27" s="3"/>
      <c r="E27" s="3" t="s">
        <v>68</v>
      </c>
      <c r="F27" s="4" t="s">
        <v>26</v>
      </c>
      <c r="G27" s="5" t="s">
        <v>12</v>
      </c>
    </row>
    <row r="28" spans="1:7">
      <c r="A28" s="3"/>
      <c r="B28" s="3"/>
      <c r="C28" s="3"/>
      <c r="D28" s="3" t="s">
        <v>69</v>
      </c>
      <c r="E28" s="3" t="s">
        <v>70</v>
      </c>
      <c r="F28" s="4" t="s">
        <v>71</v>
      </c>
      <c r="G28" s="6" t="str">
        <f>HYPERLINK("https://youtu.be/Ogf2bGXKFok","Video 1: 45 Sec")</f>
        <v>Video 1: 45 Sec</v>
      </c>
    </row>
    <row r="29" spans="1:7">
      <c r="A29" s="3" t="s">
        <v>72</v>
      </c>
      <c r="B29" s="3" t="s">
        <v>73</v>
      </c>
      <c r="C29" s="3" t="s">
        <v>74</v>
      </c>
      <c r="D29" s="3" t="s">
        <v>75</v>
      </c>
      <c r="E29" s="3" t="s">
        <v>76</v>
      </c>
      <c r="F29" s="4" t="s">
        <v>26</v>
      </c>
      <c r="G29" s="5" t="s">
        <v>12</v>
      </c>
    </row>
    <row r="30" spans="1:7">
      <c r="A30" s="3"/>
      <c r="B30" s="3"/>
      <c r="C30" s="3" t="s">
        <v>77</v>
      </c>
      <c r="D30" s="3" t="s">
        <v>17</v>
      </c>
      <c r="E30" s="3" t="s">
        <v>76</v>
      </c>
      <c r="F30" s="4" t="s">
        <v>31</v>
      </c>
      <c r="G30" s="5" t="s">
        <v>12</v>
      </c>
    </row>
    <row r="31" spans="1:7">
      <c r="A31" s="3"/>
      <c r="B31" s="3"/>
      <c r="C31" s="3"/>
      <c r="D31" s="3" t="s">
        <v>52</v>
      </c>
      <c r="E31" s="3" t="s">
        <v>67</v>
      </c>
      <c r="F31" s="4" t="s">
        <v>31</v>
      </c>
      <c r="G31" s="5" t="s">
        <v>12</v>
      </c>
    </row>
    <row r="32" spans="1:7">
      <c r="A32" s="3"/>
      <c r="B32" s="3"/>
      <c r="C32" s="3" t="s">
        <v>78</v>
      </c>
      <c r="D32" s="3" t="s">
        <v>14</v>
      </c>
      <c r="E32" s="3" t="s">
        <v>79</v>
      </c>
      <c r="F32" s="4" t="s">
        <v>26</v>
      </c>
      <c r="G32" s="5" t="s">
        <v>12</v>
      </c>
    </row>
    <row r="33" spans="1:7">
      <c r="A33" s="3"/>
      <c r="B33" s="3"/>
      <c r="C33" s="3"/>
      <c r="D33" s="3" t="s">
        <v>52</v>
      </c>
      <c r="E33" s="3" t="s">
        <v>67</v>
      </c>
      <c r="F33" s="4" t="s">
        <v>31</v>
      </c>
      <c r="G33" s="5" t="s">
        <v>12</v>
      </c>
    </row>
    <row r="34" spans="1:7">
      <c r="A34" s="3"/>
      <c r="B34" s="3"/>
      <c r="C34" s="3"/>
      <c r="D34" s="3" t="s">
        <v>17</v>
      </c>
      <c r="E34" s="3" t="s">
        <v>76</v>
      </c>
      <c r="F34" s="4" t="s">
        <v>26</v>
      </c>
      <c r="G34" s="6" t="s">
        <v>23</v>
      </c>
    </row>
    <row r="35" spans="1:7">
      <c r="A35" s="3"/>
      <c r="B35" s="3" t="s">
        <v>80</v>
      </c>
      <c r="C35" s="3" t="s">
        <v>77</v>
      </c>
      <c r="D35" s="3" t="s">
        <v>17</v>
      </c>
      <c r="E35" s="3" t="s">
        <v>76</v>
      </c>
      <c r="F35" s="3" t="s">
        <v>26</v>
      </c>
      <c r="G35" s="5" t="s">
        <v>12</v>
      </c>
    </row>
    <row r="36" spans="1:7">
      <c r="A36" s="3"/>
      <c r="B36" s="3"/>
      <c r="C36" s="3"/>
      <c r="D36" s="3" t="s">
        <v>52</v>
      </c>
      <c r="E36" s="3" t="s">
        <v>67</v>
      </c>
      <c r="F36" s="3" t="s">
        <v>31</v>
      </c>
      <c r="G36" s="5" t="s">
        <v>12</v>
      </c>
    </row>
    <row r="37" spans="1:7">
      <c r="A37" s="3"/>
      <c r="B37" s="3"/>
      <c r="C37" s="3" t="s">
        <v>81</v>
      </c>
      <c r="D37" s="3" t="s">
        <v>82</v>
      </c>
      <c r="E37" s="3" t="s">
        <v>83</v>
      </c>
      <c r="F37" s="3" t="s">
        <v>18</v>
      </c>
      <c r="G37" s="5" t="s">
        <v>12</v>
      </c>
    </row>
    <row r="38" spans="1:7">
      <c r="A38" s="3"/>
      <c r="B38" s="3"/>
      <c r="C38" s="3" t="s">
        <v>84</v>
      </c>
      <c r="D38" s="3" t="s">
        <v>14</v>
      </c>
      <c r="E38" s="3" t="s">
        <v>79</v>
      </c>
      <c r="F38" s="3" t="s">
        <v>26</v>
      </c>
      <c r="G38" s="5" t="s">
        <v>12</v>
      </c>
    </row>
    <row r="39" spans="1:8">
      <c r="A39" s="3"/>
      <c r="B39" s="3"/>
      <c r="C39" s="3" t="s">
        <v>85</v>
      </c>
      <c r="D39" s="3" t="s">
        <v>62</v>
      </c>
      <c r="E39" s="3" t="s">
        <v>63</v>
      </c>
      <c r="F39" s="3" t="s">
        <v>39</v>
      </c>
      <c r="G39" s="5" t="s">
        <v>12</v>
      </c>
      <c r="H39" s="8" t="s">
        <v>86</v>
      </c>
    </row>
    <row r="40" spans="1:7">
      <c r="A40" s="3"/>
      <c r="B40" s="3"/>
      <c r="C40" s="3"/>
      <c r="D40" s="3"/>
      <c r="E40" s="3" t="s">
        <v>65</v>
      </c>
      <c r="F40" s="3" t="s">
        <v>11</v>
      </c>
      <c r="G40" s="5" t="s">
        <v>12</v>
      </c>
    </row>
    <row r="41" spans="1:7">
      <c r="A41" s="3"/>
      <c r="B41" s="3"/>
      <c r="C41" s="3"/>
      <c r="D41" s="3" t="s">
        <v>52</v>
      </c>
      <c r="E41" s="3" t="s">
        <v>67</v>
      </c>
      <c r="F41" s="3" t="s">
        <v>26</v>
      </c>
      <c r="G41" s="5" t="s">
        <v>12</v>
      </c>
    </row>
    <row r="42" spans="1:7">
      <c r="A42" s="3"/>
      <c r="B42" s="3"/>
      <c r="C42" s="3"/>
      <c r="D42" s="3" t="s">
        <v>82</v>
      </c>
      <c r="E42" s="3" t="s">
        <v>83</v>
      </c>
      <c r="F42" s="3" t="s">
        <v>39</v>
      </c>
      <c r="G42" s="5" t="s">
        <v>12</v>
      </c>
    </row>
    <row r="43" spans="1:7">
      <c r="A43" s="3" t="s">
        <v>87</v>
      </c>
      <c r="B43" s="3" t="s">
        <v>88</v>
      </c>
      <c r="C43" s="3" t="s">
        <v>89</v>
      </c>
      <c r="D43" s="3" t="s">
        <v>9</v>
      </c>
      <c r="E43" s="3" t="s">
        <v>10</v>
      </c>
      <c r="F43" s="3" t="s">
        <v>16</v>
      </c>
      <c r="G43" s="5" t="s">
        <v>12</v>
      </c>
    </row>
    <row r="44" spans="1:7">
      <c r="A44" s="3"/>
      <c r="B44" s="3"/>
      <c r="C44" s="3"/>
      <c r="D44" s="3" t="s">
        <v>82</v>
      </c>
      <c r="E44" s="3" t="s">
        <v>83</v>
      </c>
      <c r="F44" s="3" t="s">
        <v>57</v>
      </c>
      <c r="G44" s="5" t="s">
        <v>12</v>
      </c>
    </row>
    <row r="45" spans="1:7">
      <c r="A45" s="3"/>
      <c r="B45" s="3"/>
      <c r="C45" s="3"/>
      <c r="D45" s="3" t="s">
        <v>90</v>
      </c>
      <c r="E45" s="3" t="s">
        <v>91</v>
      </c>
      <c r="F45" s="3" t="s">
        <v>29</v>
      </c>
      <c r="G45" s="9" t="str">
        <f>HYPERLINK("https://www.youtube.com/watch?v=bG7yW9FigJA","Video 1: 10 Sec")</f>
        <v>Video 1: 10 Sec</v>
      </c>
    </row>
    <row r="46" spans="1:14">
      <c r="A46" s="3"/>
      <c r="B46" s="3"/>
      <c r="C46" s="3" t="s">
        <v>92</v>
      </c>
      <c r="D46" s="3" t="s">
        <v>93</v>
      </c>
      <c r="E46" s="3" t="s">
        <v>56</v>
      </c>
      <c r="F46" s="3" t="s">
        <v>94</v>
      </c>
      <c r="G46" s="9" t="str">
        <f>HYPERLINK("https://www.youtube.com/watch?v=CO-6FRQGtNs","Video 1: 9 Seconds")</f>
        <v>Video 1: 9 Seconds</v>
      </c>
      <c r="H46" t="s">
        <v>95</v>
      </c>
      <c r="J46" s="9"/>
      <c r="N46" s="8" t="s">
        <v>96</v>
      </c>
    </row>
    <row r="47" spans="1:7">
      <c r="A47" s="3"/>
      <c r="B47" s="3"/>
      <c r="C47" s="3"/>
      <c r="D47" s="3"/>
      <c r="E47" s="3" t="s">
        <v>97</v>
      </c>
      <c r="F47" s="3" t="s">
        <v>16</v>
      </c>
      <c r="G47" s="5" t="s">
        <v>12</v>
      </c>
    </row>
    <row r="48" spans="1:7">
      <c r="A48" s="3"/>
      <c r="B48" s="3"/>
      <c r="C48" s="3"/>
      <c r="D48" s="3" t="s">
        <v>82</v>
      </c>
      <c r="E48" s="3" t="s">
        <v>83</v>
      </c>
      <c r="F48" s="3" t="s">
        <v>57</v>
      </c>
      <c r="G48" s="5" t="s">
        <v>12</v>
      </c>
    </row>
  </sheetData>
  <mergeCells count="30">
    <mergeCell ref="A2:A28"/>
    <mergeCell ref="A29:A42"/>
    <mergeCell ref="A43:A48"/>
    <mergeCell ref="B2:B12"/>
    <mergeCell ref="B13:B19"/>
    <mergeCell ref="B20:B28"/>
    <mergeCell ref="B29:B34"/>
    <mergeCell ref="B35:B42"/>
    <mergeCell ref="B43:B48"/>
    <mergeCell ref="C3:C4"/>
    <mergeCell ref="C5:C6"/>
    <mergeCell ref="C7:C8"/>
    <mergeCell ref="C9:C10"/>
    <mergeCell ref="C11:C12"/>
    <mergeCell ref="C13:C15"/>
    <mergeCell ref="C16:C19"/>
    <mergeCell ref="C20:C23"/>
    <mergeCell ref="C24:C28"/>
    <mergeCell ref="C30:C31"/>
    <mergeCell ref="C32:C34"/>
    <mergeCell ref="C35:C36"/>
    <mergeCell ref="C39:C42"/>
    <mergeCell ref="C43:C45"/>
    <mergeCell ref="C46:C48"/>
    <mergeCell ref="D13:D15"/>
    <mergeCell ref="D16:D19"/>
    <mergeCell ref="D24:D25"/>
    <mergeCell ref="D26:D27"/>
    <mergeCell ref="D39:D40"/>
    <mergeCell ref="D46:D47"/>
  </mergeCells>
  <hyperlinks>
    <hyperlink ref="G9" r:id="rId1" location="bib0007" display="Big data analysis for the estimation of disassembly time and de-manufacturing activity - ScienceDirect"/>
    <hyperlink ref="G34" r:id="rId2" location="bib0190" display="Ease of disassembly of products to support circular economy strategies - ScienceDirect"/>
    <hyperlink ref="G5" r:id="rId2" location="bib0190" display="Ease of disassembly of products to support circular economy strategies - ScienceDirect"/>
    <hyperlink ref="G25" r:id="rId3" display="Disassembly analysis of hot-melt adhesive in mechanical joints - ScienceDirec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M</dc:creator>
  <cp:lastModifiedBy>孙欣</cp:lastModifiedBy>
  <dcterms:created xsi:type="dcterms:W3CDTF">2024-07-23T09:26:00Z</dcterms:created>
  <dcterms:modified xsi:type="dcterms:W3CDTF">2025-03-24T13:58:08Z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4243CE6DDBB377A870F4E0672626A336_43</vt:lpwstr>
  </property>
  <property fmtid="{D5CDD505-2E9C-101B-9397-08002B2CF9AE}" pid="3" name="KSOProductBuildVer">
    <vt:lpwstr>2052-7.2.2.8955</vt:lpwstr>
  </property>
</Properties>
</file>